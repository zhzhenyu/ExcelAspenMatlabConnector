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Cost_Model\Thread-Jun2020\ExcelAPSENMatlabConnector\"/>
    </mc:Choice>
  </mc:AlternateContent>
  <bookViews>
    <workbookView xWindow="0" yWindow="0" windowWidth="18000" windowHeight="9600" tabRatio="814" activeTab="6"/>
  </bookViews>
  <sheets>
    <sheet name="Aspen_IntParams" sheetId="8" r:id="rId1"/>
    <sheet name="Aspen_RealParams" sheetId="6" r:id="rId2"/>
    <sheet name="Aspen_Input" sheetId="4" r:id="rId3"/>
    <sheet name="Aspen_Output" sheetId="5" r:id="rId4"/>
    <sheet name="Aspen_Output_CMR" sheetId="11" r:id="rId5"/>
    <sheet name="Aspen_Output_" sheetId="12" r:id="rId6"/>
    <sheet name="Matlab" sheetId="1" r:id="rId7"/>
    <sheet name="Util" sheetId="2" r:id="rId8"/>
  </sheets>
  <functionGroups builtInGroupCount="18"/>
  <externalReferences>
    <externalReference r:id="rId9"/>
  </externalReferences>
  <definedNames>
    <definedName name="Aspen_Input">Aspen_Input!$B$2:$C$13</definedName>
    <definedName name="Aspen_IntParams">Aspen_IntParams!$B$2:$B$5</definedName>
    <definedName name="Aspen_Output">Aspen_Output!$B$2:$C$13</definedName>
    <definedName name="Aspen_RealParams">Aspen_RealParams!$B$2:$B$5</definedName>
    <definedName name="Ent_permeato">Aspen_Input!$C$2:$C$13</definedName>
    <definedName name="Ent_retentato">Aspen_Input!$B$2:$B$13</definedName>
    <definedName name="Sal_permeato">Aspen_Output!$C$2:$C$13</definedName>
    <definedName name="Sal_retentato">Aspen_Output!$B$2:$B$13</definedName>
  </definedNames>
  <calcPr calcId="162913"/>
</workbook>
</file>

<file path=xl/calcChain.xml><?xml version="1.0" encoding="utf-8"?>
<calcChain xmlns="http://schemas.openxmlformats.org/spreadsheetml/2006/main">
  <c r="B7" i="1" l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<sst xmlns="http://schemas.openxmlformats.org/spreadsheetml/2006/main" count="94" uniqueCount="46">
  <si>
    <t>TEMP</t>
  </si>
  <si>
    <t>TOTFLOW</t>
  </si>
  <si>
    <t>ENTHALPY</t>
  </si>
  <si>
    <t>VAP FRAC</t>
  </si>
  <si>
    <t>ENTROPY</t>
  </si>
  <si>
    <t>DENSITY</t>
  </si>
  <si>
    <t>MOLE WT</t>
  </si>
  <si>
    <t>PRES</t>
  </si>
  <si>
    <t>LIQ FRAC</t>
  </si>
  <si>
    <t>kg/kmol</t>
  </si>
  <si>
    <t>INPUT</t>
  </si>
  <si>
    <t>INTPARAMS</t>
  </si>
  <si>
    <t>REALPARAMS</t>
  </si>
  <si>
    <t>OUTPUT</t>
  </si>
  <si>
    <t>SWEEP</t>
  </si>
  <si>
    <t>N2</t>
  </si>
  <si>
    <t>H2</t>
  </si>
  <si>
    <t>NH3</t>
  </si>
  <si>
    <t>INLET</t>
  </si>
  <si>
    <t>RET</t>
  </si>
  <si>
    <t>PERM</t>
  </si>
  <si>
    <t>STREAMS=</t>
  </si>
  <si>
    <t>INLET PU</t>
  </si>
  <si>
    <t>ASPEN Input - Integer Pars</t>
  </si>
  <si>
    <t>ASPEN Input - Real Pars</t>
  </si>
  <si>
    <t>ASPEN Input - Inlet Stream</t>
  </si>
  <si>
    <t>MATLAB output - Integer Pars</t>
  </si>
  <si>
    <t>MATLAB Input - Real Pars</t>
  </si>
  <si>
    <t>MATLAB Input - Outlet Stream</t>
  </si>
  <si>
    <t>Excel to MATLAB Method</t>
  </si>
  <si>
    <t xml:space="preserve">The default units </t>
  </si>
  <si>
    <t>Array Index Description</t>
  </si>
  <si>
    <t>1, . . . , NCOMP_NCC Component mole flows (kgmole/sec)</t>
  </si>
  <si>
    <t>NCOMP_NCC + 1 Total mole flow (kgmole/sec)</t>
  </si>
  <si>
    <t>NCOMP_NCC + 2 Temperature (K)</t>
  </si>
  <si>
    <t>NCOMP_NCC + 3 Pressure (N/m2)</t>
  </si>
  <si>
    <t>NCOMP_NCC + 4 Mass enthalpy (J/kg)</t>
  </si>
  <si>
    <t>NCOMP_NCC + 5 Molar vapor fraction</t>
  </si>
  <si>
    <t>NCOMP_NCC + 6 Molar liquid fraction</t>
  </si>
  <si>
    <t>NCOMP_NCC + 7 Mass entropy (J/kg-K)</t>
  </si>
  <si>
    <t>NCOMP_NCC + 8 Mass density (kg/m3)</t>
  </si>
  <si>
    <t>NCOMP_NCC + 9 Molecular weight (kg/kgmole)</t>
  </si>
  <si>
    <t>NCOMP_NCC + 10, . . .,</t>
  </si>
  <si>
    <t>NCOMP_NCC + 9 +</t>
  </si>
  <si>
    <t>NCOMP_NVACC</t>
  </si>
  <si>
    <t>Component attributes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</si>
</sst>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11" fontId="0" fillId="0" borderId="0" xfId="0" applyNumberFormat="1"/>
    <xf numFmtId="0" fontId="3" fillId="0" borderId="0" xfId="0" applyFont="1" applyAlignment="1">
      <alignment horizontal="left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ATLAB\R2019a\toolbox\exlink\excllink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MLEvalString"/>
      <definedName name="MLGetMatrix"/>
      <definedName name="MLputMatrix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8"/>
  <sheetViews>
    <sheetView workbookViewId="0">
      <selection activeCell="B2" sqref="B2:B8"/>
    </sheetView>
  </sheetViews>
  <sheetFormatPr defaultColWidth="9.140625" defaultRowHeight="12.75" x14ac:dyDescent="0.2"/>
  <cols>
    <col min="1" max="1" width="17.28515625" style="2" customWidth="1"/>
  </cols>
  <sheetData>
    <row r="1" spans="1:2" s="2" customFormat="1" x14ac:dyDescent="0.2">
      <c r="A1" s="2" t="s">
        <v>11</v>
      </c>
      <c r="B1" s="2">
        <v>1</v>
      </c>
    </row>
    <row r="2" spans="1:2" x14ac:dyDescent="0.2">
      <c r="A2" s="2">
        <v>1</v>
      </c>
      <c r="B2">
        <v>100</v>
      </c>
    </row>
    <row r="3" spans="1:2" x14ac:dyDescent="0.2">
      <c r="A3" s="2">
        <v>2</v>
      </c>
      <c r="B3">
        <v>1000</v>
      </c>
    </row>
    <row r="4" spans="1:2" x14ac:dyDescent="0.2">
      <c r="A4" s="2">
        <v>3</v>
      </c>
      <c r="B4">
        <v>100</v>
      </c>
    </row>
    <row r="5" spans="1:2" x14ac:dyDescent="0.2">
      <c r="A5" s="2">
        <v>4</v>
      </c>
      <c r="B5">
        <v>100</v>
      </c>
    </row>
    <row r="6" spans="1:2" x14ac:dyDescent="0.2">
      <c r="A6" s="2">
        <v>5</v>
      </c>
    </row>
    <row r="7" spans="1:2" x14ac:dyDescent="0.2">
      <c r="A7" s="2">
        <v>6</v>
      </c>
    </row>
    <row r="8" spans="1:2" x14ac:dyDescent="0.2">
      <c r="A8" s="2">
        <v>7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"/>
  <sheetViews>
    <sheetView workbookViewId="0">
      <selection activeCell="B2" sqref="B2:C8"/>
    </sheetView>
  </sheetViews>
  <sheetFormatPr defaultColWidth="9.140625" defaultRowHeight="12.75" x14ac:dyDescent="0.2"/>
  <cols>
    <col min="1" max="1" width="23.140625" style="2" customWidth="1"/>
  </cols>
  <sheetData>
    <row r="1" spans="1:2" s="2" customFormat="1" x14ac:dyDescent="0.2">
      <c r="A1" s="2" t="s">
        <v>12</v>
      </c>
      <c r="B1" s="2">
        <v>1</v>
      </c>
    </row>
    <row r="2" spans="1:2" x14ac:dyDescent="0.2">
      <c r="A2" s="2">
        <v>1</v>
      </c>
      <c r="B2">
        <v>0.1</v>
      </c>
    </row>
    <row r="3" spans="1:2" x14ac:dyDescent="0.2">
      <c r="A3" s="2">
        <v>2</v>
      </c>
      <c r="B3">
        <v>5.000000000000001E-3</v>
      </c>
    </row>
    <row r="4" spans="1:2" x14ac:dyDescent="0.2">
      <c r="A4" s="2">
        <v>3</v>
      </c>
      <c r="B4">
        <v>0</v>
      </c>
    </row>
    <row r="5" spans="1:2" x14ac:dyDescent="0.2">
      <c r="A5" s="2">
        <v>4</v>
      </c>
      <c r="B5">
        <v>0</v>
      </c>
    </row>
    <row r="6" spans="1:2" x14ac:dyDescent="0.2">
      <c r="A6" s="2">
        <v>5</v>
      </c>
      <c r="B6">
        <v>0</v>
      </c>
    </row>
    <row r="7" spans="1:2" x14ac:dyDescent="0.2">
      <c r="A7" s="2">
        <v>6</v>
      </c>
    </row>
    <row r="8" spans="1:2" x14ac:dyDescent="0.2">
      <c r="A8" s="2">
        <v>7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zoomScaleNormal="100" workbookViewId="0">
      <selection activeCell="B17" sqref="B17:C17"/>
    </sheetView>
  </sheetViews>
  <sheetFormatPr defaultColWidth="9.140625" defaultRowHeight="12.75" x14ac:dyDescent="0.2"/>
  <cols>
    <col min="1" max="1" width="10.7109375" style="2" customWidth="1"/>
    <col min="2" max="3" width="14.140625" style="1" customWidth="1"/>
    <col min="4" max="5" width="12.42578125" bestFit="1" customWidth="1"/>
    <col min="6" max="6" width="10" bestFit="1" customWidth="1"/>
  </cols>
  <sheetData>
    <row r="1" spans="1:7" s="2" customFormat="1" x14ac:dyDescent="0.2">
      <c r="A1" s="2" t="s">
        <v>10</v>
      </c>
      <c r="B1" s="3" t="s">
        <v>18</v>
      </c>
      <c r="C1" s="3" t="s">
        <v>14</v>
      </c>
      <c r="D1" s="2" t="s">
        <v>21</v>
      </c>
      <c r="E1" s="2" t="s">
        <v>22</v>
      </c>
    </row>
    <row r="2" spans="1:7" x14ac:dyDescent="0.2">
      <c r="A2" s="2" t="s">
        <v>15</v>
      </c>
      <c r="B2">
        <v>1.8625000000000005E-5</v>
      </c>
      <c r="C2">
        <v>7.4500000000000038E-8</v>
      </c>
      <c r="D2">
        <v>6.0134700169990685E-154</v>
      </c>
      <c r="E2">
        <v>6.0134700169990685E-154</v>
      </c>
      <c r="F2" s="4">
        <v>3.6877742064007102E+180</v>
      </c>
      <c r="G2">
        <v>6.0134700169990685E-154</v>
      </c>
    </row>
    <row r="3" spans="1:7" x14ac:dyDescent="0.2">
      <c r="A3" s="2" t="s">
        <v>16</v>
      </c>
      <c r="B3">
        <v>5.5875000000000016E-5</v>
      </c>
      <c r="C3">
        <v>0</v>
      </c>
      <c r="D3">
        <v>6.0134700169990685E-154</v>
      </c>
      <c r="E3">
        <v>6.0134700169990685E-154</v>
      </c>
      <c r="F3">
        <v>1.2179077633758456E-152</v>
      </c>
      <c r="G3">
        <v>6.0134700169990685E-154</v>
      </c>
    </row>
    <row r="4" spans="1:7" x14ac:dyDescent="0.2">
      <c r="A4" s="2" t="s">
        <v>17</v>
      </c>
      <c r="B4">
        <v>0</v>
      </c>
      <c r="C4">
        <v>0</v>
      </c>
      <c r="D4">
        <v>6.0134700169990685E-154</v>
      </c>
      <c r="E4">
        <v>6.0134700169990685E-154</v>
      </c>
      <c r="F4">
        <v>1.6633142407845516E+151</v>
      </c>
      <c r="G4">
        <v>6.0134700169990685E-154</v>
      </c>
    </row>
    <row r="5" spans="1:7" x14ac:dyDescent="0.2">
      <c r="A5" s="2" t="s">
        <v>1</v>
      </c>
      <c r="B5">
        <v>7.4500000000000022E-5</v>
      </c>
      <c r="C5">
        <v>7.4500000000000038E-8</v>
      </c>
      <c r="D5">
        <v>6.0134700169990685E-154</v>
      </c>
      <c r="E5">
        <v>6.0134700169990685E-154</v>
      </c>
      <c r="F5">
        <v>6.0134700169990923E-154</v>
      </c>
      <c r="G5">
        <v>6.0134700169990685E-154</v>
      </c>
    </row>
    <row r="6" spans="1:7" x14ac:dyDescent="0.2">
      <c r="A6" s="2" t="s">
        <v>0</v>
      </c>
      <c r="B6">
        <v>723.14993734200812</v>
      </c>
      <c r="C6">
        <v>723.15000000000009</v>
      </c>
      <c r="D6">
        <v>6.0134700169990685E-154</v>
      </c>
      <c r="E6">
        <v>6.0134700169990685E-154</v>
      </c>
      <c r="F6">
        <v>6.0134700169990685E-154</v>
      </c>
      <c r="G6">
        <v>6.0134700169990685E-154</v>
      </c>
    </row>
    <row r="7" spans="1:7" x14ac:dyDescent="0.2">
      <c r="A7" s="2" t="s">
        <v>7</v>
      </c>
      <c r="B7">
        <v>3000000</v>
      </c>
      <c r="C7">
        <v>5000</v>
      </c>
      <c r="D7">
        <v>6.0134700169990685E-154</v>
      </c>
      <c r="E7">
        <v>0</v>
      </c>
      <c r="F7">
        <v>6.0134700169990685E-154</v>
      </c>
      <c r="G7">
        <v>6.0134700169990685E-154</v>
      </c>
    </row>
    <row r="8" spans="1:7" x14ac:dyDescent="0.2">
      <c r="A8" s="2" t="s">
        <v>2</v>
      </c>
      <c r="B8">
        <v>1471748.5304615474</v>
      </c>
      <c r="C8">
        <v>451584.20432706253</v>
      </c>
      <c r="D8">
        <v>6.0134700169990685E-154</v>
      </c>
      <c r="E8">
        <v>6.0134700169990685E-154</v>
      </c>
      <c r="F8">
        <v>6.0134700169990685E-154</v>
      </c>
      <c r="G8">
        <v>6.0134700169990685E-154</v>
      </c>
    </row>
    <row r="9" spans="1:7" x14ac:dyDescent="0.2">
      <c r="A9" s="2" t="s">
        <v>3</v>
      </c>
      <c r="B9">
        <v>1</v>
      </c>
      <c r="C9">
        <v>1</v>
      </c>
      <c r="D9">
        <v>6.0134700169990685E-154</v>
      </c>
      <c r="E9">
        <v>9.8912480152178966E+44</v>
      </c>
      <c r="F9">
        <v>6.0134700169990685E-154</v>
      </c>
      <c r="G9">
        <v>6.0134700169990685E-154</v>
      </c>
    </row>
    <row r="10" spans="1:7" x14ac:dyDescent="0.2">
      <c r="A10" s="2" t="s">
        <v>8</v>
      </c>
      <c r="B10">
        <v>0</v>
      </c>
      <c r="C10">
        <v>0</v>
      </c>
      <c r="D10">
        <v>6.0134700169990685E-154</v>
      </c>
      <c r="E10">
        <v>3.1781832910771504E+16</v>
      </c>
      <c r="F10">
        <v>6.0134700169990685E-154</v>
      </c>
      <c r="G10">
        <v>6.0134700169990685E-154</v>
      </c>
    </row>
    <row r="11" spans="1:7" x14ac:dyDescent="0.2">
      <c r="A11" s="2" t="s">
        <v>4</v>
      </c>
      <c r="B11">
        <v>291.41153454613578</v>
      </c>
      <c r="C11">
        <v>1830.4482435043444</v>
      </c>
      <c r="D11">
        <v>6.0134700169990685E-154</v>
      </c>
      <c r="E11">
        <v>4.9106021225879783E+25</v>
      </c>
      <c r="F11">
        <v>6.0134700169990685E-154</v>
      </c>
      <c r="G11">
        <v>6.0134700169990685E-154</v>
      </c>
    </row>
    <row r="12" spans="1:7" x14ac:dyDescent="0.2">
      <c r="A12" s="2" t="s">
        <v>5</v>
      </c>
      <c r="B12">
        <v>4.2145649573780677</v>
      </c>
      <c r="C12">
        <v>2.329560705811019E-2</v>
      </c>
      <c r="D12">
        <v>6.0134700169990685E-154</v>
      </c>
      <c r="E12">
        <v>6.3717956743386523E+20</v>
      </c>
      <c r="F12">
        <v>6.0134700169990685E-154</v>
      </c>
      <c r="G12">
        <v>6.0134700169990685E-154</v>
      </c>
    </row>
    <row r="13" spans="1:7" x14ac:dyDescent="0.2">
      <c r="A13" s="2" t="s">
        <v>6</v>
      </c>
      <c r="B13">
        <v>8.5152800000000006</v>
      </c>
      <c r="C13">
        <v>28.013480000000001</v>
      </c>
      <c r="D13">
        <v>6.0134700169990685E-154</v>
      </c>
      <c r="E13">
        <v>1.5707694479194154E-76</v>
      </c>
      <c r="F13">
        <v>6.0134700169990685E-154</v>
      </c>
      <c r="G13">
        <v>6.0134700169990685E-154</v>
      </c>
    </row>
    <row r="14" spans="1:7" x14ac:dyDescent="0.2">
      <c r="A14" s="2" t="s">
        <v>6</v>
      </c>
      <c r="B14" s="6">
        <v>40.458776000000015</v>
      </c>
      <c r="C14" s="6">
        <v>43.045220000000015</v>
      </c>
    </row>
  </sheetData>
  <phoneticPr fontId="2" type="noConversion"/>
  <pageMargins left="0.75" right="0.75" top="1" bottom="1" header="0.5" footer="0.5"/>
  <pageSetup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"/>
  <sheetViews>
    <sheetView zoomScaleNormal="100" workbookViewId="0">
      <selection activeCell="C17" sqref="C17"/>
    </sheetView>
  </sheetViews>
  <sheetFormatPr defaultColWidth="9.140625" defaultRowHeight="12.75" x14ac:dyDescent="0.2"/>
  <cols>
    <col min="1" max="1" width="10.5703125" style="2" customWidth="1"/>
    <col min="2" max="2" width="10.85546875" customWidth="1"/>
    <col min="3" max="3" width="17.85546875" customWidth="1"/>
    <col min="4" max="4" width="9" customWidth="1"/>
    <col min="5" max="5" width="7" customWidth="1"/>
    <col min="6" max="6" width="7.7109375" customWidth="1"/>
    <col min="7" max="7" width="7.85546875" customWidth="1"/>
  </cols>
  <sheetData>
    <row r="1" spans="1:7" s="2" customFormat="1" x14ac:dyDescent="0.2">
      <c r="A1" s="2" t="s">
        <v>13</v>
      </c>
      <c r="B1" s="3" t="s">
        <v>19</v>
      </c>
      <c r="C1" s="3" t="s">
        <v>20</v>
      </c>
      <c r="D1" s="2">
        <v>6</v>
      </c>
    </row>
    <row r="2" spans="1:7" x14ac:dyDescent="0.2">
      <c r="A2" s="2" t="s">
        <v>15</v>
      </c>
      <c r="B2">
        <v>1.1491328480359831E-5</v>
      </c>
      <c r="C2">
        <v>8.3123833565835648E-7</v>
      </c>
      <c r="D2">
        <v>6.0134700169990685E-154</v>
      </c>
      <c r="E2">
        <v>6.0134700169990685E-154</v>
      </c>
      <c r="F2">
        <v>3.687774206400713E+180</v>
      </c>
      <c r="G2">
        <v>6.0134700169990685E-154</v>
      </c>
    </row>
    <row r="3" spans="1:7" x14ac:dyDescent="0.2">
      <c r="A3" s="2" t="s">
        <v>16</v>
      </c>
      <c r="B3">
        <v>3.4458641005975114E-5</v>
      </c>
      <c r="C3">
        <v>2.2855594420784025E-6</v>
      </c>
      <c r="D3">
        <v>6.0134700169990685E-154</v>
      </c>
      <c r="E3">
        <v>6.0134700169990685E-154</v>
      </c>
      <c r="F3">
        <v>1.2179077633758456E-152</v>
      </c>
      <c r="G3">
        <v>6.0134700169990685E-154</v>
      </c>
    </row>
    <row r="4" spans="1:7" x14ac:dyDescent="0.2">
      <c r="A4" s="2" t="s">
        <v>17</v>
      </c>
      <c r="B4">
        <v>1.7110625018904426E-6</v>
      </c>
      <c r="C4">
        <v>1.0974067142621539E-5</v>
      </c>
      <c r="D4">
        <v>6.0134700169990685E-154</v>
      </c>
      <c r="E4">
        <v>6.0134700169990685E-154</v>
      </c>
      <c r="F4">
        <v>1.6633142407845516E+151</v>
      </c>
      <c r="G4">
        <v>6.0134700169990685E-154</v>
      </c>
    </row>
    <row r="5" spans="1:7" x14ac:dyDescent="0.2">
      <c r="A5" s="2" t="s">
        <v>1</v>
      </c>
      <c r="B5">
        <v>4.7661031988225386E-5</v>
      </c>
      <c r="C5">
        <v>1.4090864920358298E-5</v>
      </c>
      <c r="D5">
        <v>6.0134700169990685E-154</v>
      </c>
      <c r="E5">
        <v>6.0134700169990685E-154</v>
      </c>
      <c r="F5">
        <v>6.0134700169990923E-154</v>
      </c>
      <c r="G5">
        <v>6.0134700169990685E-154</v>
      </c>
    </row>
    <row r="6" spans="1:7" x14ac:dyDescent="0.2">
      <c r="A6" s="2" t="s">
        <v>0</v>
      </c>
      <c r="B6">
        <v>723.14993734200812</v>
      </c>
      <c r="C6">
        <v>723.15000000000009</v>
      </c>
      <c r="D6">
        <v>6.0134700169990685E-154</v>
      </c>
      <c r="E6">
        <v>6.0134700169990685E-154</v>
      </c>
      <c r="F6">
        <v>6.0134700169990685E-154</v>
      </c>
      <c r="G6">
        <v>6.0134700169990685E-154</v>
      </c>
    </row>
    <row r="7" spans="1:7" x14ac:dyDescent="0.2">
      <c r="A7" s="2" t="s">
        <v>7</v>
      </c>
      <c r="B7">
        <v>3000000</v>
      </c>
      <c r="C7">
        <v>5000</v>
      </c>
      <c r="D7">
        <v>6.0134700169990685E-154</v>
      </c>
      <c r="E7">
        <v>0</v>
      </c>
      <c r="F7">
        <v>6.0134700169990685E-154</v>
      </c>
      <c r="G7">
        <v>6.0134700169990685E-154</v>
      </c>
    </row>
    <row r="8" spans="1:7" x14ac:dyDescent="0.2">
      <c r="A8" s="2" t="s">
        <v>2</v>
      </c>
      <c r="B8">
        <v>1471748.5304615474</v>
      </c>
      <c r="C8">
        <v>451584.20432706253</v>
      </c>
      <c r="D8">
        <v>6.0134700169990685E-154</v>
      </c>
      <c r="E8">
        <v>6.0134700169990685E-154</v>
      </c>
      <c r="F8">
        <v>6.0134700169990685E-154</v>
      </c>
      <c r="G8">
        <v>6.0134700169990685E-154</v>
      </c>
    </row>
    <row r="9" spans="1:7" x14ac:dyDescent="0.2">
      <c r="A9" s="2" t="s">
        <v>3</v>
      </c>
      <c r="B9">
        <v>1</v>
      </c>
      <c r="C9">
        <v>1</v>
      </c>
      <c r="D9">
        <v>6.0134700169990685E-154</v>
      </c>
      <c r="E9">
        <v>9.8912480152178966E+44</v>
      </c>
      <c r="F9">
        <v>6.0134700169990685E-154</v>
      </c>
      <c r="G9">
        <v>6.0134700169990685E-154</v>
      </c>
    </row>
    <row r="10" spans="1:7" x14ac:dyDescent="0.2">
      <c r="A10" s="2" t="s">
        <v>8</v>
      </c>
      <c r="B10">
        <v>0</v>
      </c>
      <c r="C10">
        <v>0</v>
      </c>
      <c r="D10">
        <v>6.0134700169990685E-154</v>
      </c>
      <c r="E10">
        <v>3.1781832910771504E+16</v>
      </c>
      <c r="F10">
        <v>6.0134700169990685E-154</v>
      </c>
      <c r="G10">
        <v>6.0134700169990685E-154</v>
      </c>
    </row>
    <row r="11" spans="1:7" x14ac:dyDescent="0.2">
      <c r="A11" s="2" t="s">
        <v>4</v>
      </c>
      <c r="B11">
        <v>291.41153454613578</v>
      </c>
      <c r="C11">
        <v>1830.4482435043444</v>
      </c>
      <c r="D11">
        <v>6.0134700169990685E-154</v>
      </c>
      <c r="E11">
        <v>4.9106021225879783E+25</v>
      </c>
      <c r="F11">
        <v>6.0134700169990685E-154</v>
      </c>
      <c r="G11">
        <v>6.0134700169990685E-154</v>
      </c>
    </row>
    <row r="12" spans="1:7" x14ac:dyDescent="0.2">
      <c r="A12" s="2" t="s">
        <v>5</v>
      </c>
      <c r="B12">
        <v>4.2145649573780677</v>
      </c>
      <c r="C12">
        <v>2.329560705811019E-2</v>
      </c>
      <c r="D12">
        <v>6.0134700169990685E-154</v>
      </c>
      <c r="E12">
        <v>6.3717956743386523E+20</v>
      </c>
      <c r="F12">
        <v>6.0134700169990685E-154</v>
      </c>
      <c r="G12">
        <v>6.0134700169990685E-154</v>
      </c>
    </row>
    <row r="13" spans="1:7" x14ac:dyDescent="0.2">
      <c r="A13" s="2" t="s">
        <v>6</v>
      </c>
      <c r="B13">
        <v>8.5152800000000006</v>
      </c>
      <c r="C13">
        <v>28.013480000000001</v>
      </c>
      <c r="D13">
        <v>6.0134700169990685E-154</v>
      </c>
      <c r="E13">
        <v>1.5707694479194154E-76</v>
      </c>
      <c r="F13">
        <v>6.0134700169990685E-154</v>
      </c>
      <c r="G13">
        <v>6.0134700169990685E-154</v>
      </c>
    </row>
    <row r="14" spans="1:7" x14ac:dyDescent="0.2">
      <c r="A14" s="2" t="s">
        <v>6</v>
      </c>
      <c r="B14">
        <v>40.458776000000015</v>
      </c>
      <c r="C14">
        <v>43.045220000000015</v>
      </c>
      <c r="E14" t="s">
        <v>9</v>
      </c>
    </row>
  </sheetData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4"/>
  <sheetViews>
    <sheetView workbookViewId="0">
      <selection sqref="A1:G14"/>
    </sheetView>
  </sheetViews>
  <sheetFormatPr defaultRowHeight="12.75" x14ac:dyDescent="0.2"/>
  <sheetData>
    <row r="1" spans="1:7" x14ac:dyDescent="0.2">
      <c r="A1" t="s">
        <v>13</v>
      </c>
      <c r="B1" t="s">
        <v>19</v>
      </c>
      <c r="C1" t="s">
        <v>20</v>
      </c>
      <c r="D1">
        <v>6</v>
      </c>
    </row>
    <row r="2" spans="1:7" x14ac:dyDescent="0.2">
      <c r="A2" t="s">
        <v>15</v>
      </c>
      <c r="B2">
        <v>1.1491328480359831E-5</v>
      </c>
      <c r="C2">
        <v>8.3123833565835648E-7</v>
      </c>
      <c r="D2">
        <v>6.0134700169990685E-154</v>
      </c>
      <c r="E2">
        <v>6.0134700169990685E-154</v>
      </c>
      <c r="F2">
        <v>3.687774206400713E+180</v>
      </c>
      <c r="G2">
        <v>6.0134700169990685E-154</v>
      </c>
    </row>
    <row r="3" spans="1:7" x14ac:dyDescent="0.2">
      <c r="A3" t="s">
        <v>16</v>
      </c>
      <c r="B3">
        <v>3.4458641005975114E-5</v>
      </c>
      <c r="C3">
        <v>2.2855594420784025E-6</v>
      </c>
      <c r="D3">
        <v>6.0134700169990685E-154</v>
      </c>
      <c r="E3">
        <v>6.0134700169990685E-154</v>
      </c>
      <c r="F3">
        <v>1.2179077633758456E-152</v>
      </c>
      <c r="G3">
        <v>6.0134700169990685E-154</v>
      </c>
    </row>
    <row r="4" spans="1:7" x14ac:dyDescent="0.2">
      <c r="A4" t="s">
        <v>17</v>
      </c>
      <c r="B4">
        <v>1.7110625018904426E-6</v>
      </c>
      <c r="C4">
        <v>1.0974067142621539E-5</v>
      </c>
      <c r="D4">
        <v>6.0134700169990685E-154</v>
      </c>
      <c r="E4">
        <v>6.0134700169990685E-154</v>
      </c>
      <c r="F4">
        <v>1.6633142407845516E+151</v>
      </c>
      <c r="G4">
        <v>6.0134700169990685E-154</v>
      </c>
    </row>
    <row r="5" spans="1:7" x14ac:dyDescent="0.2">
      <c r="A5" t="s">
        <v>1</v>
      </c>
      <c r="B5">
        <v>4.7661031988225386E-5</v>
      </c>
      <c r="C5">
        <v>1.4090864920358298E-5</v>
      </c>
      <c r="D5">
        <v>6.0134700169990685E-154</v>
      </c>
      <c r="E5">
        <v>6.0134700169990685E-154</v>
      </c>
      <c r="F5">
        <v>6.0134700169990923E-154</v>
      </c>
      <c r="G5">
        <v>6.0134700169990685E-154</v>
      </c>
    </row>
    <row r="6" spans="1:7" x14ac:dyDescent="0.2">
      <c r="A6" t="s">
        <v>0</v>
      </c>
      <c r="B6">
        <v>723.14993734200812</v>
      </c>
      <c r="C6">
        <v>723.15000000000009</v>
      </c>
      <c r="D6">
        <v>6.0134700169990685E-154</v>
      </c>
      <c r="E6">
        <v>6.0134700169990685E-154</v>
      </c>
      <c r="F6">
        <v>6.0134700169990685E-154</v>
      </c>
      <c r="G6">
        <v>6.0134700169990685E-154</v>
      </c>
    </row>
    <row r="7" spans="1:7" x14ac:dyDescent="0.2">
      <c r="A7" t="s">
        <v>7</v>
      </c>
      <c r="B7">
        <v>3000000</v>
      </c>
      <c r="C7">
        <v>5000</v>
      </c>
      <c r="D7">
        <v>6.0134700169990685E-154</v>
      </c>
      <c r="E7">
        <v>0</v>
      </c>
      <c r="F7">
        <v>6.0134700169990685E-154</v>
      </c>
      <c r="G7">
        <v>6.0134700169990685E-154</v>
      </c>
    </row>
    <row r="8" spans="1:7" x14ac:dyDescent="0.2">
      <c r="A8" t="s">
        <v>2</v>
      </c>
      <c r="B8">
        <v>1471748.5304615474</v>
      </c>
      <c r="C8">
        <v>451584.20432706253</v>
      </c>
      <c r="D8">
        <v>6.0134700169990685E-154</v>
      </c>
      <c r="E8">
        <v>6.0134700169990685E-154</v>
      </c>
      <c r="F8">
        <v>6.0134700169990685E-154</v>
      </c>
      <c r="G8">
        <v>6.0134700169990685E-154</v>
      </c>
    </row>
    <row r="9" spans="1:7" x14ac:dyDescent="0.2">
      <c r="A9" t="s">
        <v>3</v>
      </c>
      <c r="B9">
        <v>1</v>
      </c>
      <c r="C9">
        <v>1</v>
      </c>
      <c r="D9">
        <v>6.0134700169990685E-154</v>
      </c>
      <c r="E9">
        <v>9.8912480152178966E+44</v>
      </c>
      <c r="F9">
        <v>6.0134700169990685E-154</v>
      </c>
      <c r="G9">
        <v>6.0134700169990685E-154</v>
      </c>
    </row>
    <row r="10" spans="1:7" x14ac:dyDescent="0.2">
      <c r="A10" t="s">
        <v>8</v>
      </c>
      <c r="B10">
        <v>0</v>
      </c>
      <c r="C10">
        <v>0</v>
      </c>
      <c r="D10">
        <v>6.0134700169990685E-154</v>
      </c>
      <c r="E10">
        <v>3.1781832910771504E+16</v>
      </c>
      <c r="F10">
        <v>6.0134700169990685E-154</v>
      </c>
      <c r="G10">
        <v>6.0134700169990685E-154</v>
      </c>
    </row>
    <row r="11" spans="1:7" x14ac:dyDescent="0.2">
      <c r="A11" t="s">
        <v>4</v>
      </c>
      <c r="B11">
        <v>291.41153454613578</v>
      </c>
      <c r="C11">
        <v>1830.4482435043444</v>
      </c>
      <c r="D11">
        <v>6.0134700169990685E-154</v>
      </c>
      <c r="E11">
        <v>4.9106021225879783E+25</v>
      </c>
      <c r="F11">
        <v>6.0134700169990685E-154</v>
      </c>
      <c r="G11">
        <v>6.0134700169990685E-154</v>
      </c>
    </row>
    <row r="12" spans="1:7" x14ac:dyDescent="0.2">
      <c r="A12" t="s">
        <v>5</v>
      </c>
      <c r="B12">
        <v>4.2145649573780677</v>
      </c>
      <c r="C12">
        <v>2.329560705811019E-2</v>
      </c>
      <c r="D12">
        <v>6.0134700169990685E-154</v>
      </c>
      <c r="E12">
        <v>6.3717956743386523E+20</v>
      </c>
      <c r="F12">
        <v>6.0134700169990685E-154</v>
      </c>
      <c r="G12">
        <v>6.0134700169990685E-154</v>
      </c>
    </row>
    <row r="13" spans="1:7" x14ac:dyDescent="0.2">
      <c r="A13" t="s">
        <v>6</v>
      </c>
      <c r="B13">
        <v>8.5152800000000006</v>
      </c>
      <c r="C13">
        <v>28.013480000000001</v>
      </c>
      <c r="D13">
        <v>6.0134700169990685E-154</v>
      </c>
      <c r="E13">
        <v>1.5707694479194154E-76</v>
      </c>
      <c r="F13">
        <v>6.0134700169990685E-154</v>
      </c>
      <c r="G13">
        <v>6.0134700169990685E-154</v>
      </c>
    </row>
    <row r="14" spans="1:7" x14ac:dyDescent="0.2">
      <c r="A14" t="s">
        <v>6</v>
      </c>
      <c r="B14">
        <v>40.458776000000015</v>
      </c>
      <c r="C14">
        <v>43.045220000000015</v>
      </c>
      <c r="E1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4"/>
  <sheetViews>
    <sheetView workbookViewId="0">
      <selection sqref="A1:G14"/>
    </sheetView>
  </sheetViews>
  <sheetFormatPr defaultRowHeight="12.75" x14ac:dyDescent="0.2"/>
  <sheetData>
    <row r="1" spans="1:7" x14ac:dyDescent="0.2">
      <c r="A1" t="s">
        <v>13</v>
      </c>
      <c r="B1" t="s">
        <v>19</v>
      </c>
      <c r="C1" t="s">
        <v>20</v>
      </c>
      <c r="D1">
        <v>6</v>
      </c>
    </row>
    <row r="2" spans="1:7" x14ac:dyDescent="0.2">
      <c r="A2" t="s">
        <v>15</v>
      </c>
      <c r="B2">
        <v>1.1491328480359831E-5</v>
      </c>
      <c r="C2">
        <v>8.3123833565835648E-7</v>
      </c>
      <c r="D2">
        <v>6.0134700169990685E-154</v>
      </c>
      <c r="E2">
        <v>6.0134700169990685E-154</v>
      </c>
      <c r="F2">
        <v>3.687774206400713E+180</v>
      </c>
      <c r="G2">
        <v>6.0134700169990685E-154</v>
      </c>
    </row>
    <row r="3" spans="1:7" x14ac:dyDescent="0.2">
      <c r="A3" t="s">
        <v>16</v>
      </c>
      <c r="B3">
        <v>3.4458641005975114E-5</v>
      </c>
      <c r="C3">
        <v>2.2855594420784025E-6</v>
      </c>
      <c r="D3">
        <v>6.0134700169990685E-154</v>
      </c>
      <c r="E3">
        <v>6.0134700169990685E-154</v>
      </c>
      <c r="F3">
        <v>1.2179077633758456E-152</v>
      </c>
      <c r="G3">
        <v>6.0134700169990685E-154</v>
      </c>
    </row>
    <row r="4" spans="1:7" x14ac:dyDescent="0.2">
      <c r="A4" t="s">
        <v>17</v>
      </c>
      <c r="B4">
        <v>1.7110625018904426E-6</v>
      </c>
      <c r="C4">
        <v>1.0974067142621539E-5</v>
      </c>
      <c r="D4">
        <v>6.0134700169990685E-154</v>
      </c>
      <c r="E4">
        <v>6.0134700169990685E-154</v>
      </c>
      <c r="F4">
        <v>1.6633142407845516E+151</v>
      </c>
      <c r="G4">
        <v>6.0134700169990685E-154</v>
      </c>
    </row>
    <row r="5" spans="1:7" x14ac:dyDescent="0.2">
      <c r="A5" t="s">
        <v>1</v>
      </c>
      <c r="B5">
        <v>4.7661031988225386E-5</v>
      </c>
      <c r="C5">
        <v>1.4090864920358298E-5</v>
      </c>
      <c r="D5">
        <v>6.0134700169990685E-154</v>
      </c>
      <c r="E5">
        <v>6.0134700169990685E-154</v>
      </c>
      <c r="F5">
        <v>6.0134700169990923E-154</v>
      </c>
      <c r="G5">
        <v>6.0134700169990685E-154</v>
      </c>
    </row>
    <row r="6" spans="1:7" x14ac:dyDescent="0.2">
      <c r="A6" t="s">
        <v>0</v>
      </c>
      <c r="B6">
        <v>723.14993734200812</v>
      </c>
      <c r="C6">
        <v>723.15000000000009</v>
      </c>
      <c r="D6">
        <v>6.0134700169990685E-154</v>
      </c>
      <c r="E6">
        <v>6.0134700169990685E-154</v>
      </c>
      <c r="F6">
        <v>6.0134700169990685E-154</v>
      </c>
      <c r="G6">
        <v>6.0134700169990685E-154</v>
      </c>
    </row>
    <row r="7" spans="1:7" x14ac:dyDescent="0.2">
      <c r="A7" t="s">
        <v>7</v>
      </c>
      <c r="B7">
        <v>3000000</v>
      </c>
      <c r="C7">
        <v>5000</v>
      </c>
      <c r="D7">
        <v>6.0134700169990685E-154</v>
      </c>
      <c r="E7">
        <v>0</v>
      </c>
      <c r="F7">
        <v>6.0134700169990685E-154</v>
      </c>
      <c r="G7">
        <v>6.0134700169990685E-154</v>
      </c>
    </row>
    <row r="8" spans="1:7" x14ac:dyDescent="0.2">
      <c r="A8" t="s">
        <v>2</v>
      </c>
      <c r="B8">
        <v>1471748.5304615474</v>
      </c>
      <c r="C8">
        <v>451584.20432706253</v>
      </c>
      <c r="D8">
        <v>6.0134700169990685E-154</v>
      </c>
      <c r="E8">
        <v>6.0134700169990685E-154</v>
      </c>
      <c r="F8">
        <v>6.0134700169990685E-154</v>
      </c>
      <c r="G8">
        <v>6.0134700169990685E-154</v>
      </c>
    </row>
    <row r="9" spans="1:7" x14ac:dyDescent="0.2">
      <c r="A9" t="s">
        <v>3</v>
      </c>
      <c r="B9">
        <v>1</v>
      </c>
      <c r="C9">
        <v>1</v>
      </c>
      <c r="D9">
        <v>6.0134700169990685E-154</v>
      </c>
      <c r="E9">
        <v>9.8912480152178966E+44</v>
      </c>
      <c r="F9">
        <v>6.0134700169990685E-154</v>
      </c>
      <c r="G9">
        <v>6.0134700169990685E-154</v>
      </c>
    </row>
    <row r="10" spans="1:7" x14ac:dyDescent="0.2">
      <c r="A10" t="s">
        <v>8</v>
      </c>
      <c r="B10">
        <v>0</v>
      </c>
      <c r="C10">
        <v>0</v>
      </c>
      <c r="D10">
        <v>6.0134700169990685E-154</v>
      </c>
      <c r="E10">
        <v>3.1781832910771504E+16</v>
      </c>
      <c r="F10">
        <v>6.0134700169990685E-154</v>
      </c>
      <c r="G10">
        <v>6.0134700169990685E-154</v>
      </c>
    </row>
    <row r="11" spans="1:7" x14ac:dyDescent="0.2">
      <c r="A11" t="s">
        <v>4</v>
      </c>
      <c r="B11">
        <v>291.41153454613578</v>
      </c>
      <c r="C11">
        <v>1830.4482435043444</v>
      </c>
      <c r="D11">
        <v>6.0134700169990685E-154</v>
      </c>
      <c r="E11">
        <v>4.9106021225879783E+25</v>
      </c>
      <c r="F11">
        <v>6.0134700169990685E-154</v>
      </c>
      <c r="G11">
        <v>6.0134700169990685E-154</v>
      </c>
    </row>
    <row r="12" spans="1:7" x14ac:dyDescent="0.2">
      <c r="A12" t="s">
        <v>5</v>
      </c>
      <c r="B12">
        <v>4.2145649573780677</v>
      </c>
      <c r="C12">
        <v>2.329560705811019E-2</v>
      </c>
      <c r="D12">
        <v>6.0134700169990685E-154</v>
      </c>
      <c r="E12">
        <v>6.3717956743386523E+20</v>
      </c>
      <c r="F12">
        <v>6.0134700169990685E-154</v>
      </c>
      <c r="G12">
        <v>6.0134700169990685E-154</v>
      </c>
    </row>
    <row r="13" spans="1:7" x14ac:dyDescent="0.2">
      <c r="A13" t="s">
        <v>6</v>
      </c>
      <c r="B13">
        <v>8.5152800000000006</v>
      </c>
      <c r="C13">
        <v>28.013480000000001</v>
      </c>
      <c r="D13">
        <v>6.0134700169990685E-154</v>
      </c>
      <c r="E13">
        <v>1.5707694479194154E-76</v>
      </c>
      <c r="F13">
        <v>6.0134700169990685E-154</v>
      </c>
      <c r="G13">
        <v>6.0134700169990685E-154</v>
      </c>
    </row>
    <row r="14" spans="1:7" x14ac:dyDescent="0.2">
      <c r="A14" t="s">
        <v>6</v>
      </c>
      <c r="B14">
        <v>40.458776000000015</v>
      </c>
      <c r="C14">
        <v>43.045220000000015</v>
      </c>
      <c r="E14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"/>
  <sheetViews>
    <sheetView tabSelected="1" workbookViewId="0">
      <selection activeCell="N18" sqref="N18"/>
    </sheetView>
  </sheetViews>
  <sheetFormatPr defaultColWidth="9.140625" defaultRowHeight="12.75" x14ac:dyDescent="0.2"/>
  <cols>
    <col min="1" max="1" width="35.28515625" style="1" customWidth="1"/>
    <col min="2" max="2" width="17.7109375" customWidth="1"/>
    <col min="3" max="3" width="18.5703125" style="1" customWidth="1"/>
    <col min="4" max="4" width="14.140625" customWidth="1"/>
    <col min="5" max="5" width="16.28515625" style="1" customWidth="1"/>
    <col min="6" max="6" width="21.28515625" customWidth="1"/>
  </cols>
  <sheetData>
    <row r="1" spans="1:2" x14ac:dyDescent="0.2">
      <c r="A1" s="3" t="s">
        <v>23</v>
      </c>
      <c r="B1">
        <f>[1]!MLputMatrix("ParEnt",Aspen_IntParams)</f>
        <v>0</v>
      </c>
    </row>
    <row r="2" spans="1:2" x14ac:dyDescent="0.2">
      <c r="A2" s="3" t="s">
        <v>24</v>
      </c>
      <c r="B2">
        <f>[1]!MLputMatrix("ParReal",Aspen_RealParams)</f>
        <v>0</v>
      </c>
    </row>
    <row r="3" spans="1:2" x14ac:dyDescent="0.2">
      <c r="A3" s="3" t="s">
        <v>25</v>
      </c>
      <c r="B3">
        <f>[1]!MLputMatrix("CorEnt",Aspen_Input)</f>
        <v>0</v>
      </c>
    </row>
    <row r="4" spans="1:2" x14ac:dyDescent="0.2">
      <c r="A4" s="3" t="s">
        <v>29</v>
      </c>
      <c r="B4">
        <f>[1]!MLEvalString("[ParEnt,ParReal,CorSal]=usermodel(ParEnt,ParReal,CorEnt)")</f>
        <v>0</v>
      </c>
    </row>
    <row r="5" spans="1:2" x14ac:dyDescent="0.2">
      <c r="A5" s="3" t="s">
        <v>26</v>
      </c>
      <c r="B5">
        <f>[1]!MLGetMatrix("ParEnt","Aspen_IntParams")</f>
        <v>0</v>
      </c>
    </row>
    <row r="6" spans="1:2" x14ac:dyDescent="0.2">
      <c r="A6" s="3" t="s">
        <v>27</v>
      </c>
      <c r="B6">
        <f>[1]!MLGetMatrix("ParReal","Aspen_RealParams")</f>
        <v>0</v>
      </c>
    </row>
    <row r="7" spans="1:2" x14ac:dyDescent="0.2">
      <c r="A7" s="3" t="s">
        <v>28</v>
      </c>
      <c r="B7">
        <f>[1]!MLGetMatrix("CorSal","Aspen_Output")</f>
        <v>0</v>
      </c>
    </row>
    <row r="12" spans="1:2" x14ac:dyDescent="0.2">
      <c r="A12" s="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6"/>
  <sheetViews>
    <sheetView zoomScale="140" zoomScaleNormal="140" workbookViewId="0">
      <selection activeCell="A10" sqref="A10"/>
    </sheetView>
  </sheetViews>
  <sheetFormatPr defaultColWidth="9.140625" defaultRowHeight="12.75" x14ac:dyDescent="0.2"/>
  <cols>
    <col min="1" max="1" width="16.7109375" customWidth="1"/>
    <col min="12" max="12" width="13.5703125" bestFit="1" customWidth="1"/>
  </cols>
  <sheetData>
    <row r="1" spans="1:1" x14ac:dyDescent="0.2">
      <c r="A1" t="s">
        <v>30</v>
      </c>
    </row>
    <row r="2" spans="1:1" x14ac:dyDescent="0.2">
      <c r="A2" t="s">
        <v>31</v>
      </c>
    </row>
    <row r="3" spans="1:1" x14ac:dyDescent="0.2">
      <c r="A3" t="s">
        <v>32</v>
      </c>
    </row>
    <row r="4" spans="1:1" x14ac:dyDescent="0.2">
      <c r="A4" t="s">
        <v>33</v>
      </c>
    </row>
    <row r="5" spans="1:1" x14ac:dyDescent="0.2">
      <c r="A5" t="s">
        <v>34</v>
      </c>
    </row>
    <row r="6" spans="1:1" x14ac:dyDescent="0.2">
      <c r="A6" t="s">
        <v>35</v>
      </c>
    </row>
    <row r="7" spans="1:1" x14ac:dyDescent="0.2">
      <c r="A7" t="s">
        <v>36</v>
      </c>
    </row>
    <row r="8" spans="1:1" x14ac:dyDescent="0.2">
      <c r="A8" t="s">
        <v>37</v>
      </c>
    </row>
    <row r="9" spans="1:1" x14ac:dyDescent="0.2">
      <c r="A9" t="s">
        <v>38</v>
      </c>
    </row>
    <row r="10" spans="1:1" x14ac:dyDescent="0.2">
      <c r="A10" t="s">
        <v>39</v>
      </c>
    </row>
    <row r="11" spans="1:1" x14ac:dyDescent="0.2">
      <c r="A11" t="s">
        <v>40</v>
      </c>
    </row>
    <row r="12" spans="1:1" x14ac:dyDescent="0.2">
      <c r="A12" t="s">
        <v>41</v>
      </c>
    </row>
    <row r="13" spans="1:1" x14ac:dyDescent="0.2">
      <c r="A13" t="s">
        <v>42</v>
      </c>
    </row>
    <row r="14" spans="1:1" x14ac:dyDescent="0.2">
      <c r="A14" t="s">
        <v>43</v>
      </c>
    </row>
    <row r="15" spans="1:1" x14ac:dyDescent="0.2">
      <c r="A15" t="s">
        <v>44</v>
      </c>
    </row>
    <row r="16" spans="1:1" x14ac:dyDescent="0.2">
      <c r="A16" t="s">
        <v>45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Aspen_IntParams</vt:lpstr>
      <vt:lpstr>Aspen_RealParams</vt:lpstr>
      <vt:lpstr>Aspen_Input</vt:lpstr>
      <vt:lpstr>Aspen_Output</vt:lpstr>
      <vt:lpstr>Aspen_Output_CMR</vt:lpstr>
      <vt:lpstr>Aspen_Output_</vt:lpstr>
      <vt:lpstr>Matlab</vt:lpstr>
      <vt:lpstr>Util</vt:lpstr>
      <vt:lpstr>Aspen_Input</vt:lpstr>
      <vt:lpstr>Aspen_IntParams</vt:lpstr>
      <vt:lpstr>Aspen_Output</vt:lpstr>
      <vt:lpstr>Aspen_RealParams</vt:lpstr>
      <vt:lpstr>Ent_permeato</vt:lpstr>
      <vt:lpstr>Ent_retentato</vt:lpstr>
      <vt:lpstr>Sal_permeato</vt:lpstr>
      <vt:lpstr>Sal_retentato</vt:lpstr>
    </vt:vector>
  </TitlesOfParts>
  <Company>Aspen Technology,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 Durrani</dc:creator>
  <cp:lastModifiedBy>Zhenyu Zhang</cp:lastModifiedBy>
  <dcterms:created xsi:type="dcterms:W3CDTF">1998-03-31T22:22:53Z</dcterms:created>
  <dcterms:modified xsi:type="dcterms:W3CDTF">2020-08-20T17:13:15Z</dcterms:modified>
</cp:coreProperties>
</file>